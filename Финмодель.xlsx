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Финмодель (12 мес)" sheetId="2" state="visible" r:id="rId4"/>
    <sheet name="Анализ чувствительност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<sst xmlns="http://schemas.openxmlformats.org/spreadsheetml/2006/main" count="152" uniqueCount="118">
  <si>
    <t xml:space="preserve">ДОПУЩЕНИЯ И ВХОДНЫЕ ДАННЫЕ</t>
  </si>
  <si>
    <t xml:space="preserve">Синий текст = вводимые данные (можно изменять). Чёрный = расчётные.</t>
  </si>
  <si>
    <t xml:space="preserve">Параметр</t>
  </si>
  <si>
    <t xml:space="preserve">Значение</t>
  </si>
  <si>
    <t xml:space="preserve">Ед. изм.</t>
  </si>
  <si>
    <t xml:space="preserve">Комментарий</t>
  </si>
  <si>
    <t xml:space="preserve">── ЦЕНООБРАЗОВАНИЕ ──</t>
  </si>
  <si>
    <t xml:space="preserve">Цена устройства (ASP)</t>
  </si>
  <si>
    <t xml:space="preserve">₽</t>
  </si>
  <si>
    <t xml:space="preserve">Целевой диапазон 7 000–10 000 ₽ по данным UX-теста</t>
  </si>
  <si>
    <t xml:space="preserve">COGS на единицу</t>
  </si>
  <si>
    <t xml:space="preserve">~50% ASP: компоненты + сборка + упаковка</t>
  </si>
  <si>
    <t xml:space="preserve">Гарантийный резерв, % COGS</t>
  </si>
  <si>
    <t xml:space="preserve">%</t>
  </si>
  <si>
    <t xml:space="preserve">5% от COGS на гарантийные замены</t>
  </si>
  <si>
    <t xml:space="preserve">── ВОРОНКА ПРОДАЖ ──</t>
  </si>
  <si>
    <t xml:space="preserve">Контактов в М1 (outreach)</t>
  </si>
  <si>
    <t xml:space="preserve">шт</t>
  </si>
  <si>
    <t xml:space="preserve">Стартовый охват через Telegram + маркетплейсы</t>
  </si>
  <si>
    <t xml:space="preserve">Прирост контактов в месяц</t>
  </si>
  <si>
    <t xml:space="preserve">Органический рост + реферал</t>
  </si>
  <si>
    <t xml:space="preserve">Reply rate</t>
  </si>
  <si>
    <t xml:space="preserve">Доля ответивших на первичный контакт</t>
  </si>
  <si>
    <t xml:space="preserve">Demo-to-contact rate</t>
  </si>
  <si>
    <t xml:space="preserve">Доля выходящих на демо от ответивших</t>
  </si>
  <si>
    <t xml:space="preserve">Конверсия в покупку</t>
  </si>
  <si>
    <t xml:space="preserve">Доля купивших от прошедших демо</t>
  </si>
  <si>
    <t xml:space="preserve">Retention: повторный заказ</t>
  </si>
  <si>
    <t xml:space="preserve">Доп. аксессуары / чехол / замена через 18 мес.</t>
  </si>
  <si>
    <t xml:space="preserve">── ОПЕРАЦИОННЫЕ ЗАТРАТЫ ──</t>
  </si>
  <si>
    <t xml:space="preserve">Маркетинг, в месяц</t>
  </si>
  <si>
    <t xml:space="preserve">Реклама: Telegram Ads, обзоры блогеров, Wildberries</t>
  </si>
  <si>
    <t xml:space="preserve">Разработка / прошивка, в мес</t>
  </si>
  <si>
    <t xml:space="preserve">1 fullstack-разработчик (частичная занятость)</t>
  </si>
  <si>
    <t xml:space="preserve">Операционные (логистика, КС)</t>
  </si>
  <si>
    <t xml:space="preserve">Склад, доставка, поддержка клиентов</t>
  </si>
  <si>
    <t xml:space="preserve">── СЦЕНАРИИ (Анализ чувствительности) ──</t>
  </si>
  <si>
    <t xml:space="preserve">Reply rate — консервативный</t>
  </si>
  <si>
    <t xml:space="preserve">Холодный outreach без прогрева</t>
  </si>
  <si>
    <t xml:space="preserve">Reply rate — оптимистичный</t>
  </si>
  <si>
    <t xml:space="preserve">Тёплые лиды + рекомендации</t>
  </si>
  <si>
    <t xml:space="preserve">Конверсия — консервативная</t>
  </si>
  <si>
    <t xml:space="preserve">Высокий барьер: цена, доверие к новому бренду</t>
  </si>
  <si>
    <t xml:space="preserve">Конверсия — оптимистичная</t>
  </si>
  <si>
    <t xml:space="preserve">После видео-обзора + промо-скидки -10%</t>
  </si>
  <si>
    <t xml:space="preserve">Контакты М1 — консервативно</t>
  </si>
  <si>
    <t xml:space="preserve">Медленный старт</t>
  </si>
  <si>
    <t xml:space="preserve">Контакты М1 — оптимистично</t>
  </si>
  <si>
    <t xml:space="preserve">Агрессивный outreach</t>
  </si>
  <si>
    <t xml:space="preserve">ФИНАНСОВАЯ МОДЕЛЬ — Портативный Wi-Fi SSD (горизонт 12 месяцев)</t>
  </si>
  <si>
    <t xml:space="preserve">Базовый сценарий · Все суммы в рублях · Синий текст = ввод · Чёрный = расчёт</t>
  </si>
  <si>
    <t xml:space="preserve">Показатель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</si>
  <si>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</si>
  <si>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</si>
  <si>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</si>
  <si>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</si>
  <si>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</si>
  <si>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</si>
  <si>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</si>
  <si>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</si>
  <si>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</si>
  <si>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</si>
  <si>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</si>
  <si>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</si>
  <si>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ИТОГО / ГОД</t>
  </si>
  <si>
    <t xml:space="preserve">🔸 БЛОК 1. ВОРОНКА ПРОДАЖ</t>
  </si>
  <si>
    <t xml:space="preserve">Контактов (outreach)</t>
  </si>
  <si>
    <t xml:space="preserve">Ответили (reply rate)</t>
  </si>
  <si>
    <t xml:space="preserve">Демо / созвоны</t>
  </si>
  <si>
    <t xml:space="preserve">Продажи (ед.)</t>
  </si>
  <si>
    <t xml:space="preserve">Нарастающим итогом, ед.</t>
  </si>
  <si>
    <t xml:space="preserve">🔸 БЛОК 2. ВЫРУЧКА</t>
  </si>
  <si>
    <t xml:space="preserve">Цена ед. (ASP), ₽</t>
  </si>
  <si>
    <t xml:space="preserve">Выручка, ₽</t>
  </si>
  <si>
    <t xml:space="preserve">Нарастающим итогом, ₽</t>
  </si>
  <si>
    <t xml:space="preserve">🔸 БЛОК 3. COGS И ВАЛОВАЯ ПРИБЫЛЬ</t>
  </si>
  <si>
    <t xml:space="preserve">COGS на ед., ₽</t>
  </si>
  <si>
    <t xml:space="preserve">Гарантийный резерв, ₽</t>
  </si>
  <si>
    <t xml:space="preserve">Итого COGS, ₽</t>
  </si>
  <si>
    <t xml:space="preserve">Валовая прибыль, ₽</t>
  </si>
  <si>
    <t xml:space="preserve">Валовая маржа, %</t>
  </si>
  <si>
    <t xml:space="preserve">🔸 БЛОК 4. ОПЕРАЦИОННЫЕ ЗАТРАТЫ (OPEX)</t>
  </si>
  <si>
    <t xml:space="preserve">Маркетинг, ₽</t>
  </si>
  <si>
    <t xml:space="preserve">Разработка, ₽</t>
  </si>
  <si>
    <t xml:space="preserve">Операционные, ₽</t>
  </si>
  <si>
    <t xml:space="preserve">Итого OPEX, ₽</t>
  </si>
  <si>
    <t xml:space="preserve">🔸 БЛОК 5. ИТОГИ</t>
  </si>
  <si>
    <t xml:space="preserve">EBITDA (операц. прибыль), ₽</t>
  </si>
  <si>
    <t xml:space="preserve">EBITDA маржа, %</t>
  </si>
  <si>
    <t xml:space="preserve">Накопленный денежный поток, ₽</t>
  </si>
  <si>
    <t xml:space="preserve">АНАЛИЗ ЧУВСТВИТЕЛЬНОСТИ — 3 СЦЕНАРИЯ (годовой горизонт)</t>
  </si>
  <si>
    <t xml:space="preserve">Варьируемые параметры: Reply Rate, Конверсия в покупку, Контакты М1. Прочие = базовые (лист Допущения).</t>
  </si>
  <si>
    <t xml:space="preserve">Параметр / Метрика</t>
  </si>
  <si>
    <t xml:space="preserve">Консервативный</t>
  </si>
  <si>
    <t xml:space="preserve">Базовый</t>
  </si>
  <si>
    <t xml:space="preserve">Оптимистичный</t>
  </si>
  <si>
    <t xml:space="preserve">── ВХОДНЫЕ ПАРАМЕТРЫ ──</t>
  </si>
  <si>
    <t xml:space="preserve">Reply Rate</t>
  </si>
  <si>
    <t xml:space="preserve">Доля ответивших на outreach</t>
  </si>
  <si>
    <t xml:space="preserve">Контакты в М1</t>
  </si>
  <si>
    <t xml:space="preserve">Стартовый охват</t>
  </si>
  <si>
    <t xml:space="preserve">Прирост контактов/мес</t>
  </si>
  <si>
    <t xml:space="preserve">Одинаковый во всех сценариях</t>
  </si>
  <si>
    <t xml:space="preserve">Demo rate</t>
  </si>
  <si>
    <t xml:space="preserve">Одинаковая во всех сценариях</t>
  </si>
  <si>
    <t xml:space="preserve">── РАСЧЁТНЫЕ МЕТРИКИ (12 мес) ──</t>
  </si>
  <si>
    <t xml:space="preserve">Контактов всего (год)</t>
  </si>
  <si>
    <t xml:space="preserve">Суммарный outreach за 12 мес.</t>
  </si>
  <si>
    <t xml:space="preserve">Продаж всего (год), ед.</t>
  </si>
  <si>
    <t xml:space="preserve">Суммарные продажи устройств</t>
  </si>
  <si>
    <t xml:space="preserve">Выручка (год), ₽</t>
  </si>
  <si>
    <t xml:space="preserve">Продажи × ASP</t>
  </si>
  <si>
    <t xml:space="preserve">Валовая прибыль (год), ₽</t>
  </si>
  <si>
    <t xml:space="preserve">Выручка − COGS</t>
  </si>
  <si>
    <t xml:space="preserve">EBITDA (год), ₽</t>
  </si>
  <si>
    <t xml:space="preserve">Валовая прибыль − OPEX</t>
  </si>
  <si>
    <t xml:space="preserve">EBITDA / Выручка</t>
  </si>
  <si>
    <t xml:space="preserve">Источники: IDC External Storage Tracker Q4 2024; Mediascope РФ 2024; UX-тест (март 2026, n=7); анализ Ozon/Wildberries март 2026; собственные расчёты.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</si>
</sst>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₽&quot;;\(#,##0&quot; ₽)&quot;;\-"/>
    <numFmt numFmtId="166" formatCode="0.0%"/>
    <numFmt numFmtId="167" formatCode="#,##0;\(#,##0\);\-"/>
    <numFmt numFmtId="168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0E6B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3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EFF4F7"/>
        <bgColor rgb="FFE8F7F0"/>
      </patternFill>
    </fill>
    <fill>
      <patternFill patternType="solid">
        <fgColor rgb="FF0E6B85"/>
        <bgColor rgb="FF008080"/>
      </patternFill>
    </fill>
    <fill>
      <patternFill patternType="solid">
        <fgColor rgb="FFFFFFFF"/>
        <bgColor rgb="FFEFF4F7"/>
      </patternFill>
    </fill>
    <fill>
      <patternFill patternType="solid">
        <fgColor rgb="FFD0DDE6"/>
        <bgColor rgb="FFE8F7F0"/>
      </patternFill>
    </fill>
    <fill>
      <patternFill patternType="solid">
        <fgColor rgb="FFE8F7F0"/>
        <bgColor rgb="FFEFF4F7"/>
      </patternFill>
    </fill>
    <fill>
      <patternFill patternType="solid">
        <fgColor rgb="FFC0392B"/>
        <bgColor rgb="FF993366"/>
      </patternFill>
    </fill>
    <fill>
      <patternFill patternType="solid">
        <fgColor rgb="FF0E7C3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DE6"/>
      </left>
      <right style="thin">
        <color rgb="FFD0DDE6"/>
      </right>
      <top style="thin">
        <color rgb="FFD0DDE6"/>
      </top>
      <bottom style="thin">
        <color rgb="FFD0DDE6"/>
      </bottom>
      <diagonal/>
    </border>
    <border diagonalUp="false" diagonalDown="false">
      <left style="thin">
        <color rgb="FFD0DDE6"/>
      </left>
      <right/>
      <top style="thin">
        <color rgb="FFD0DDE6"/>
      </top>
      <bottom style="thin">
        <color rgb="FFD0DD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7C3A"/>
      <rgbColor rgb="FF000080"/>
      <rgbColor rgb="FF808000"/>
      <rgbColor rgb="FF800080"/>
      <rgbColor rgb="FF0E6B85"/>
      <rgbColor rgb="FFC0C0C0"/>
      <rgbColor rgb="FF777777"/>
      <rgbColor rgb="FF9999FF"/>
      <rgbColor rgb="FF993366"/>
      <rgbColor rgb="FFEFF4F7"/>
      <rgbColor rgb="FFE8F7F0"/>
      <rgbColor rgb="FF660066"/>
      <rgbColor rgb="FFFF8080"/>
      <rgbColor rgb="FF0066CC"/>
      <rgbColor rgb="FFD0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2137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8" hidden="false" customHeight="true" outlineLevel="0" collapsed="false">
      <c r="A4" s="4" t="s">
        <v>6</v>
      </c>
      <c r="B4" s="4"/>
      <c r="C4" s="4"/>
      <c r="D4" s="4"/>
    </row>
    <row r="5" customFormat="false" ht="18" hidden="false" customHeight="true" outlineLevel="0" collapsed="false">
      <c r="A5" s="5" t="s">
        <v>7</v>
      </c>
      <c r="B5" s="6" t="n">
        <v>8500</v>
      </c>
      <c r="C5" s="7" t="s">
        <v>8</v>
      </c>
      <c r="D5" s="8" t="s">
        <v>9</v>
      </c>
    </row>
    <row r="6" customFormat="false" ht="18" hidden="false" customHeight="true" outlineLevel="0" collapsed="false">
      <c r="A6" s="9" t="s">
        <v>10</v>
      </c>
      <c r="B6" s="10" t="n">
        <v>4200</v>
      </c>
      <c r="C6" s="11" t="s">
        <v>8</v>
      </c>
      <c r="D6" s="12" t="s">
        <v>11</v>
      </c>
    </row>
    <row r="7" customFormat="false" ht="18" hidden="false" customHeight="true" outlineLevel="0" collapsed="false">
      <c r="A7" s="5" t="s">
        <v>12</v>
      </c>
      <c r="B7" s="13" t="n">
        <v>0.05</v>
      </c>
      <c r="C7" s="7" t="s">
        <v>13</v>
      </c>
      <c r="D7" s="8" t="s">
        <v>14</v>
      </c>
    </row>
    <row r="8" customFormat="false" ht="18" hidden="false" customHeight="true" outlineLevel="0" collapsed="false">
      <c r="A8" s="4" t="s">
        <v>15</v>
      </c>
      <c r="B8" s="4"/>
      <c r="C8" s="4"/>
      <c r="D8" s="4"/>
    </row>
    <row r="9" customFormat="false" ht="18" hidden="false" customHeight="true" outlineLevel="0" collapsed="false">
      <c r="A9" s="5" t="s">
        <v>16</v>
      </c>
      <c r="B9" s="14" t="n">
        <v>80</v>
      </c>
      <c r="C9" s="7" t="s">
        <v>17</v>
      </c>
      <c r="D9" s="8" t="s">
        <v>18</v>
      </c>
    </row>
    <row r="10" customFormat="false" ht="18" hidden="false" customHeight="true" outlineLevel="0" collapsed="false">
      <c r="A10" s="9" t="s">
        <v>19</v>
      </c>
      <c r="B10" s="15" t="n">
        <v>40</v>
      </c>
      <c r="C10" s="11" t="s">
        <v>17</v>
      </c>
      <c r="D10" s="12" t="s">
        <v>20</v>
      </c>
    </row>
    <row r="11" customFormat="false" ht="18" hidden="false" customHeight="true" outlineLevel="0" collapsed="false">
      <c r="A11" s="5" t="s">
        <v>21</v>
      </c>
      <c r="B11" s="13" t="n">
        <v>0.3</v>
      </c>
      <c r="C11" s="7" t="s">
        <v>13</v>
      </c>
      <c r="D11" s="8" t="s">
        <v>22</v>
      </c>
    </row>
    <row r="12" customFormat="false" ht="18" hidden="false" customHeight="true" outlineLevel="0" collapsed="false">
      <c r="A12" s="9" t="s">
        <v>23</v>
      </c>
      <c r="B12" s="16" t="n">
        <v>0.5</v>
      </c>
      <c r="C12" s="11" t="s">
        <v>13</v>
      </c>
      <c r="D12" s="12" t="s">
        <v>24</v>
      </c>
    </row>
    <row r="13" customFormat="false" ht="18" hidden="false" customHeight="true" outlineLevel="0" collapsed="false">
      <c r="A13" s="5" t="s">
        <v>25</v>
      </c>
      <c r="B13" s="13" t="n">
        <v>0.2</v>
      </c>
      <c r="C13" s="7" t="s">
        <v>13</v>
      </c>
      <c r="D13" s="8" t="s">
        <v>26</v>
      </c>
    </row>
    <row r="14" customFormat="false" ht="18" hidden="false" customHeight="true" outlineLevel="0" collapsed="false">
      <c r="A14" s="9" t="s">
        <v>27</v>
      </c>
      <c r="B14" s="16" t="n">
        <v>0.1</v>
      </c>
      <c r="C14" s="11" t="s">
        <v>13</v>
      </c>
      <c r="D14" s="12" t="s">
        <v>28</v>
      </c>
    </row>
    <row r="15" customFormat="false" ht="18" hidden="false" customHeight="true" outlineLevel="0" collapsed="false">
      <c r="A15" s="4" t="s">
        <v>29</v>
      </c>
      <c r="B15" s="4"/>
      <c r="C15" s="4"/>
      <c r="D15" s="4"/>
    </row>
    <row r="16" customFormat="false" ht="18" hidden="false" customHeight="true" outlineLevel="0" collapsed="false">
      <c r="A16" s="9" t="s">
        <v>30</v>
      </c>
      <c r="B16" s="10" t="n">
        <v>50000</v>
      </c>
      <c r="C16" s="11" t="s">
        <v>8</v>
      </c>
      <c r="D16" s="12" t="s">
        <v>31</v>
      </c>
    </row>
    <row r="17" customFormat="false" ht="18" hidden="false" customHeight="true" outlineLevel="0" collapsed="false">
      <c r="A17" s="5" t="s">
        <v>32</v>
      </c>
      <c r="B17" s="6" t="n">
        <v>80000</v>
      </c>
      <c r="C17" s="7" t="s">
        <v>8</v>
      </c>
      <c r="D17" s="8" t="s">
        <v>33</v>
      </c>
    </row>
    <row r="18" customFormat="false" ht="18" hidden="false" customHeight="true" outlineLevel="0" collapsed="false">
      <c r="A18" s="9" t="s">
        <v>34</v>
      </c>
      <c r="B18" s="10" t="n">
        <v>30000</v>
      </c>
      <c r="C18" s="11" t="s">
        <v>8</v>
      </c>
      <c r="D18" s="12" t="s">
        <v>35</v>
      </c>
    </row>
    <row r="19" customFormat="false" ht="18" hidden="false" customHeight="true" outlineLevel="0" collapsed="false">
      <c r="A19" s="4" t="s">
        <v>36</v>
      </c>
      <c r="B19" s="4"/>
      <c r="C19" s="4"/>
      <c r="D19" s="4"/>
    </row>
    <row r="20" customFormat="false" ht="18" hidden="false" customHeight="true" outlineLevel="0" collapsed="false">
      <c r="A20" s="9" t="s">
        <v>37</v>
      </c>
      <c r="B20" s="16" t="n">
        <v>0.2</v>
      </c>
      <c r="C20" s="11" t="s">
        <v>13</v>
      </c>
      <c r="D20" s="12" t="s">
        <v>38</v>
      </c>
    </row>
    <row r="21" customFormat="false" ht="18" hidden="false" customHeight="true" outlineLevel="0" collapsed="false">
      <c r="A21" s="5" t="s">
        <v>39</v>
      </c>
      <c r="B21" s="13" t="n">
        <v>0.4</v>
      </c>
      <c r="C21" s="7" t="s">
        <v>13</v>
      </c>
      <c r="D21" s="8" t="s">
        <v>40</v>
      </c>
    </row>
    <row r="22" customFormat="false" ht="18" hidden="false" customHeight="true" outlineLevel="0" collapsed="false">
      <c r="A22" s="9" t="s">
        <v>41</v>
      </c>
      <c r="B22" s="16" t="n">
        <v>0.1</v>
      </c>
      <c r="C22" s="11" t="s">
        <v>13</v>
      </c>
      <c r="D22" s="12" t="s">
        <v>42</v>
      </c>
    </row>
    <row r="23" customFormat="false" ht="18" hidden="false" customHeight="true" outlineLevel="0" collapsed="false">
      <c r="A23" s="5" t="s">
        <v>43</v>
      </c>
      <c r="B23" s="13" t="n">
        <v>0.3</v>
      </c>
      <c r="C23" s="7" t="s">
        <v>13</v>
      </c>
      <c r="D23" s="8" t="s">
        <v>44</v>
      </c>
    </row>
    <row r="24" customFormat="false" ht="18" hidden="false" customHeight="true" outlineLevel="0" collapsed="false">
      <c r="A24" s="9" t="s">
        <v>45</v>
      </c>
      <c r="B24" s="15" t="n">
        <v>50</v>
      </c>
      <c r="C24" s="11" t="s">
        <v>17</v>
      </c>
      <c r="D24" s="12" t="s">
        <v>46</v>
      </c>
    </row>
    <row r="25" customFormat="false" ht="18" hidden="false" customHeight="true" outlineLevel="0" collapsed="false">
      <c r="A25" s="5" t="s">
        <v>47</v>
      </c>
      <c r="B25" s="14" t="n">
        <v>120</v>
      </c>
      <c r="C25" s="7" t="s">
        <v>17</v>
      </c>
      <c r="D25" s="8" t="s">
        <v>48</v>
      </c>
    </row>
  </sheetData>
  <mergeCells count="6">
    <mergeCell ref="A1:D1"/>
    <mergeCell ref="A2:D2"/>
    <mergeCell ref="A4:D4"/>
    <mergeCell ref="A8:D8"/>
    <mergeCell ref="A15:D15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4" min="2" style="0" width="11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17" t="s">
        <v>64</v>
      </c>
    </row>
    <row r="4" customFormat="false" ht="19.5" hidden="false" customHeight="true" outlineLevel="0" collapsed="false">
      <c r="A4" s="18" t="s">
        <v>65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customFormat="false" ht="18" hidden="false" customHeight="true" outlineLevel="0" collapsed="false">
      <c r="A5" s="5" t="s">
        <v>66</v>
      </c>
      <c r="B5" s="19" t="n">
        <f aca="false">Допущения!$B$9+Допущения!$B$10*0</f>
        <v>80</v>
      </c>
      <c r="C5" s="19" t="n">
        <f aca="false">Допущения!$B$9+Допущения!$B$10*1</f>
        <v>120</v>
      </c>
      <c r="D5" s="19" t="n">
        <f aca="false">Допущения!$B$9+Допущения!$B$10*2</f>
        <v>160</v>
      </c>
      <c r="E5" s="19" t="n">
        <f aca="false">Допущения!$B$9+Допущения!$B$10*3</f>
        <v>200</v>
      </c>
      <c r="F5" s="19" t="n">
        <f aca="false">Допущения!$B$9+Допущения!$B$10*4</f>
        <v>240</v>
      </c>
      <c r="G5" s="19" t="n">
        <f aca="false">Допущения!$B$9+Допущения!$B$10*5</f>
        <v>280</v>
      </c>
      <c r="H5" s="19" t="n">
        <f aca="false">Допущения!$B$9+Допущения!$B$10*6</f>
        <v>320</v>
      </c>
      <c r="I5" s="19" t="n">
        <f aca="false">Допущения!$B$9+Допущения!$B$10*7</f>
        <v>360</v>
      </c>
      <c r="J5" s="19" t="n">
        <f aca="false">Допущения!$B$9+Допущения!$B$10*8</f>
        <v>400</v>
      </c>
      <c r="K5" s="19" t="n">
        <f aca="false">Допущения!$B$9+Допущения!$B$10*9</f>
        <v>440</v>
      </c>
      <c r="L5" s="19" t="n">
        <f aca="false">Допущения!$B$9+Допущения!$B$10*10</f>
        <v>480</v>
      </c>
      <c r="M5" s="19" t="n">
        <f aca="false">Допущения!$B$9+Допущения!$B$10*11</f>
        <v>520</v>
      </c>
      <c r="N5" s="20" t="n">
        <f aca="false">SUM(B5:M5)</f>
        <v>3600</v>
      </c>
    </row>
    <row r="6" customFormat="false" ht="18" hidden="false" customHeight="true" outlineLevel="0" collapsed="false">
      <c r="A6" s="9" t="s">
        <v>67</v>
      </c>
      <c r="B6" s="21" t="n">
        <f aca="false">ROUND(B5*Допущения!$B$11,0)</f>
        <v>24</v>
      </c>
      <c r="C6" s="21" t="n">
        <f aca="false">ROUND(C5*Допущения!$B$11,0)</f>
        <v>36</v>
      </c>
      <c r="D6" s="21" t="n">
        <f aca="false">ROUND(D5*Допущения!$B$11,0)</f>
        <v>48</v>
      </c>
      <c r="E6" s="21" t="n">
        <f aca="false">ROUND(E5*Допущения!$B$11,0)</f>
        <v>60</v>
      </c>
      <c r="F6" s="21" t="n">
        <f aca="false">ROUND(F5*Допущения!$B$11,0)</f>
        <v>72</v>
      </c>
      <c r="G6" s="21" t="n">
        <f aca="false">ROUND(G5*Допущения!$B$11,0)</f>
        <v>84</v>
      </c>
      <c r="H6" s="21" t="n">
        <f aca="false">ROUND(H5*Допущения!$B$11,0)</f>
        <v>96</v>
      </c>
      <c r="I6" s="21" t="n">
        <f aca="false">ROUND(I5*Допущения!$B$11,0)</f>
        <v>108</v>
      </c>
      <c r="J6" s="21" t="n">
        <f aca="false">ROUND(J5*Допущения!$B$11,0)</f>
        <v>120</v>
      </c>
      <c r="K6" s="21" t="n">
        <f aca="false">ROUND(K5*Допущения!$B$11,0)</f>
        <v>132</v>
      </c>
      <c r="L6" s="21" t="n">
        <f aca="false">ROUND(L5*Допущения!$B$11,0)</f>
        <v>144</v>
      </c>
      <c r="M6" s="21" t="n">
        <f aca="false">ROUND(M5*Допущения!$B$11,0)</f>
        <v>156</v>
      </c>
      <c r="N6" s="20" t="n">
        <f aca="false">SUM(B6:M6)</f>
        <v>1080</v>
      </c>
    </row>
    <row r="7" customFormat="false" ht="18" hidden="false" customHeight="true" outlineLevel="0" collapsed="false">
      <c r="A7" s="5" t="s">
        <v>68</v>
      </c>
      <c r="B7" s="19" t="n">
        <f aca="false">ROUND(B6*Допущения!$B$12,0)</f>
        <v>12</v>
      </c>
      <c r="C7" s="19" t="n">
        <f aca="false">ROUND(C6*Допущения!$B$12,0)</f>
        <v>18</v>
      </c>
      <c r="D7" s="19" t="n">
        <f aca="false">ROUND(D6*Допущения!$B$12,0)</f>
        <v>24</v>
      </c>
      <c r="E7" s="19" t="n">
        <f aca="false">ROUND(E6*Допущения!$B$12,0)</f>
        <v>30</v>
      </c>
      <c r="F7" s="19" t="n">
        <f aca="false">ROUND(F6*Допущения!$B$12,0)</f>
        <v>36</v>
      </c>
      <c r="G7" s="19" t="n">
        <f aca="false">ROUND(G6*Допущения!$B$12,0)</f>
        <v>42</v>
      </c>
      <c r="H7" s="19" t="n">
        <f aca="false">ROUND(H6*Допущения!$B$12,0)</f>
        <v>48</v>
      </c>
      <c r="I7" s="19" t="n">
        <f aca="false">ROUND(I6*Допущения!$B$12,0)</f>
        <v>54</v>
      </c>
      <c r="J7" s="19" t="n">
        <f aca="false">ROUND(J6*Допущения!$B$12,0)</f>
        <v>60</v>
      </c>
      <c r="K7" s="19" t="n">
        <f aca="false">ROUND(K6*Допущения!$B$12,0)</f>
        <v>66</v>
      </c>
      <c r="L7" s="19" t="n">
        <f aca="false">ROUND(L6*Допущения!$B$12,0)</f>
        <v>72</v>
      </c>
      <c r="M7" s="19" t="n">
        <f aca="false">ROUND(M6*Допущения!$B$12,0)</f>
        <v>78</v>
      </c>
      <c r="N7" s="20" t="n">
        <f aca="false">SUM(B7:M7)</f>
        <v>540</v>
      </c>
    </row>
    <row r="8" customFormat="false" ht="18" hidden="false" customHeight="true" outlineLevel="0" collapsed="false">
      <c r="A8" s="22" t="s">
        <v>69</v>
      </c>
      <c r="B8" s="23" t="n">
        <f aca="false">ROUND(B7*Допущения!$B$13,0)</f>
        <v>2</v>
      </c>
      <c r="C8" s="23" t="n">
        <f aca="false">ROUND(C7*Допущения!$B$13,0)</f>
        <v>4</v>
      </c>
      <c r="D8" s="23" t="n">
        <f aca="false">ROUND(D7*Допущения!$B$13,0)</f>
        <v>5</v>
      </c>
      <c r="E8" s="23" t="n">
        <f aca="false">ROUND(E7*Допущения!$B$13,0)</f>
        <v>6</v>
      </c>
      <c r="F8" s="23" t="n">
        <f aca="false">ROUND(F7*Допущения!$B$13,0)</f>
        <v>7</v>
      </c>
      <c r="G8" s="23" t="n">
        <f aca="false">ROUND(G7*Допущения!$B$13,0)</f>
        <v>8</v>
      </c>
      <c r="H8" s="23" t="n">
        <f aca="false">ROUND(H7*Допущения!$B$13,0)</f>
        <v>10</v>
      </c>
      <c r="I8" s="23" t="n">
        <f aca="false">ROUND(I7*Допущения!$B$13,0)</f>
        <v>11</v>
      </c>
      <c r="J8" s="23" t="n">
        <f aca="false">ROUND(J7*Допущения!$B$13,0)</f>
        <v>12</v>
      </c>
      <c r="K8" s="23" t="n">
        <f aca="false">ROUND(K7*Допущения!$B$13,0)</f>
        <v>13</v>
      </c>
      <c r="L8" s="23" t="n">
        <f aca="false">ROUND(L7*Допущения!$B$13,0)</f>
        <v>14</v>
      </c>
      <c r="M8" s="23" t="n">
        <f aca="false">ROUND(M7*Допущения!$B$13,0)</f>
        <v>16</v>
      </c>
      <c r="N8" s="23" t="n">
        <f aca="false">SUM(B8:M8)</f>
        <v>108</v>
      </c>
    </row>
    <row r="9" customFormat="false" ht="18" hidden="false" customHeight="true" outlineLevel="0" collapsed="false">
      <c r="A9" s="24" t="s">
        <v>70</v>
      </c>
      <c r="B9" s="25" t="n">
        <f aca="false">B8</f>
        <v>2</v>
      </c>
      <c r="C9" s="25" t="n">
        <f aca="false">B9+C8</f>
        <v>6</v>
      </c>
      <c r="D9" s="25" t="n">
        <f aca="false">C9+D8</f>
        <v>11</v>
      </c>
      <c r="E9" s="25" t="n">
        <f aca="false">D9+E8</f>
        <v>17</v>
      </c>
      <c r="F9" s="25" t="n">
        <f aca="false">E9+F8</f>
        <v>24</v>
      </c>
      <c r="G9" s="25" t="n">
        <f aca="false">F9+G8</f>
        <v>32</v>
      </c>
      <c r="H9" s="25" t="n">
        <f aca="false">G9+H8</f>
        <v>42</v>
      </c>
      <c r="I9" s="25" t="n">
        <f aca="false">H9+I8</f>
        <v>53</v>
      </c>
      <c r="J9" s="25" t="n">
        <f aca="false">I9+J8</f>
        <v>65</v>
      </c>
      <c r="K9" s="25" t="n">
        <f aca="false">J9+K8</f>
        <v>78</v>
      </c>
      <c r="L9" s="25" t="n">
        <f aca="false">K9+L8</f>
        <v>92</v>
      </c>
      <c r="M9" s="25" t="n">
        <f aca="false">L9+M8</f>
        <v>108</v>
      </c>
      <c r="N9" s="20" t="n">
        <f aca="false">M9</f>
        <v>108</v>
      </c>
    </row>
    <row r="11" customFormat="false" ht="19.5" hidden="false" customHeight="true" outlineLevel="0" collapsed="false">
      <c r="A11" s="18" t="s">
        <v>71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Format="false" ht="18" hidden="false" customHeight="true" outlineLevel="0" collapsed="false">
      <c r="A12" s="9" t="s">
        <v>72</v>
      </c>
      <c r="B12" s="26" t="n">
        <f aca="false">Допущения!$B$5</f>
        <v>8500</v>
      </c>
      <c r="C12" s="26" t="n">
        <f aca="false">Допущения!$B$5</f>
        <v>8500</v>
      </c>
      <c r="D12" s="26" t="n">
        <f aca="false">Допущения!$B$5</f>
        <v>8500</v>
      </c>
      <c r="E12" s="26" t="n">
        <f aca="false">Допущения!$B$5</f>
        <v>8500</v>
      </c>
      <c r="F12" s="26" t="n">
        <f aca="false">Допущения!$B$5</f>
        <v>8500</v>
      </c>
      <c r="G12" s="26" t="n">
        <f aca="false">Допущения!$B$5</f>
        <v>8500</v>
      </c>
      <c r="H12" s="26" t="n">
        <f aca="false">Допущения!$B$5</f>
        <v>8500</v>
      </c>
      <c r="I12" s="26" t="n">
        <f aca="false">Допущения!$B$5</f>
        <v>8500</v>
      </c>
      <c r="J12" s="26" t="n">
        <f aca="false">Допущения!$B$5</f>
        <v>8500</v>
      </c>
      <c r="K12" s="26" t="n">
        <f aca="false">Допущения!$B$5</f>
        <v>8500</v>
      </c>
      <c r="L12" s="26" t="n">
        <f aca="false">Допущения!$B$5</f>
        <v>8500</v>
      </c>
      <c r="M12" s="26" t="n">
        <f aca="false">Допущения!$B$5</f>
        <v>8500</v>
      </c>
      <c r="N12" s="27" t="n">
        <f aca="false">Допущения!$B$5</f>
        <v>8500</v>
      </c>
    </row>
    <row r="13" customFormat="false" ht="18" hidden="false" customHeight="true" outlineLevel="0" collapsed="false">
      <c r="A13" s="24" t="s">
        <v>73</v>
      </c>
      <c r="B13" s="28" t="n">
        <f aca="false">B8*B12</f>
        <v>17000</v>
      </c>
      <c r="C13" s="28" t="n">
        <f aca="false">C8*C12</f>
        <v>34000</v>
      </c>
      <c r="D13" s="28" t="n">
        <f aca="false">D8*D12</f>
        <v>42500</v>
      </c>
      <c r="E13" s="28" t="n">
        <f aca="false">E8*E12</f>
        <v>51000</v>
      </c>
      <c r="F13" s="28" t="n">
        <f aca="false">F8*F12</f>
        <v>59500</v>
      </c>
      <c r="G13" s="28" t="n">
        <f aca="false">G8*G12</f>
        <v>68000</v>
      </c>
      <c r="H13" s="28" t="n">
        <f aca="false">H8*H12</f>
        <v>85000</v>
      </c>
      <c r="I13" s="28" t="n">
        <f aca="false">I8*I12</f>
        <v>93500</v>
      </c>
      <c r="J13" s="28" t="n">
        <f aca="false">J8*J12</f>
        <v>102000</v>
      </c>
      <c r="K13" s="28" t="n">
        <f aca="false">K8*K12</f>
        <v>110500</v>
      </c>
      <c r="L13" s="28" t="n">
        <f aca="false">L8*L12</f>
        <v>119000</v>
      </c>
      <c r="M13" s="28" t="n">
        <f aca="false">M8*M12</f>
        <v>136000</v>
      </c>
      <c r="N13" s="27" t="n">
        <f aca="false">SUM(B13:M13)</f>
        <v>918000</v>
      </c>
    </row>
    <row r="14" customFormat="false" ht="18" hidden="false" customHeight="true" outlineLevel="0" collapsed="false">
      <c r="A14" s="29" t="s">
        <v>74</v>
      </c>
      <c r="B14" s="30" t="n">
        <f aca="false">B13</f>
        <v>17000</v>
      </c>
      <c r="C14" s="30" t="n">
        <f aca="false">B14+C13</f>
        <v>51000</v>
      </c>
      <c r="D14" s="30" t="n">
        <f aca="false">C14+D13</f>
        <v>93500</v>
      </c>
      <c r="E14" s="30" t="n">
        <f aca="false">D14+E13</f>
        <v>144500</v>
      </c>
      <c r="F14" s="30" t="n">
        <f aca="false">E14+F13</f>
        <v>204000</v>
      </c>
      <c r="G14" s="30" t="n">
        <f aca="false">F14+G13</f>
        <v>272000</v>
      </c>
      <c r="H14" s="30" t="n">
        <f aca="false">G14+H13</f>
        <v>357000</v>
      </c>
      <c r="I14" s="30" t="n">
        <f aca="false">H14+I13</f>
        <v>450500</v>
      </c>
      <c r="J14" s="30" t="n">
        <f aca="false">I14+J13</f>
        <v>552500</v>
      </c>
      <c r="K14" s="30" t="n">
        <f aca="false">J14+K13</f>
        <v>663000</v>
      </c>
      <c r="L14" s="30" t="n">
        <f aca="false">K14+L13</f>
        <v>782000</v>
      </c>
      <c r="M14" s="30" t="n">
        <f aca="false">L14+M13</f>
        <v>918000</v>
      </c>
      <c r="N14" s="27" t="n">
        <f aca="false">M14</f>
        <v>918000</v>
      </c>
    </row>
    <row r="16" customFormat="false" ht="19.5" hidden="false" customHeight="true" outlineLevel="0" collapsed="false">
      <c r="A16" s="18" t="s">
        <v>75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8" hidden="false" customHeight="true" outlineLevel="0" collapsed="false">
      <c r="A17" s="5" t="s">
        <v>76</v>
      </c>
      <c r="B17" s="31" t="n">
        <f aca="false">Допущения!$B$6</f>
        <v>4200</v>
      </c>
      <c r="C17" s="31" t="n">
        <f aca="false">Допущения!$B$6</f>
        <v>4200</v>
      </c>
      <c r="D17" s="31" t="n">
        <f aca="false">Допущения!$B$6</f>
        <v>4200</v>
      </c>
      <c r="E17" s="31" t="n">
        <f aca="false">Допущения!$B$6</f>
        <v>4200</v>
      </c>
      <c r="F17" s="31" t="n">
        <f aca="false">Допущения!$B$6</f>
        <v>4200</v>
      </c>
      <c r="G17" s="31" t="n">
        <f aca="false">Допущения!$B$6</f>
        <v>4200</v>
      </c>
      <c r="H17" s="31" t="n">
        <f aca="false">Допущения!$B$6</f>
        <v>4200</v>
      </c>
      <c r="I17" s="31" t="n">
        <f aca="false">Допущения!$B$6</f>
        <v>4200</v>
      </c>
      <c r="J17" s="31" t="n">
        <f aca="false">Допущения!$B$6</f>
        <v>4200</v>
      </c>
      <c r="K17" s="31" t="n">
        <f aca="false">Допущения!$B$6</f>
        <v>4200</v>
      </c>
      <c r="L17" s="31" t="n">
        <f aca="false">Допущения!$B$6</f>
        <v>4200</v>
      </c>
      <c r="M17" s="31" t="n">
        <f aca="false">Допущения!$B$6</f>
        <v>4200</v>
      </c>
      <c r="N17" s="27" t="n">
        <f aca="false">Допущения!$B$6</f>
        <v>4200</v>
      </c>
    </row>
    <row r="18" customFormat="false" ht="18" hidden="false" customHeight="true" outlineLevel="0" collapsed="false">
      <c r="A18" s="9" t="s">
        <v>77</v>
      </c>
      <c r="B18" s="26" t="n">
        <f aca="false">B8*Допущения!$B$6*Допущения!$B$7</f>
        <v>420</v>
      </c>
      <c r="C18" s="26" t="n">
        <f aca="false">C8*Допущения!$B$6*Допущения!$B$7</f>
        <v>840</v>
      </c>
      <c r="D18" s="26" t="n">
        <f aca="false">D8*Допущения!$B$6*Допущения!$B$7</f>
        <v>1050</v>
      </c>
      <c r="E18" s="26" t="n">
        <f aca="false">E8*Допущения!$B$6*Допущения!$B$7</f>
        <v>1260</v>
      </c>
      <c r="F18" s="26" t="n">
        <f aca="false">F8*Допущения!$B$6*Допущения!$B$7</f>
        <v>1470</v>
      </c>
      <c r="G18" s="26" t="n">
        <f aca="false">G8*Допущения!$B$6*Допущения!$B$7</f>
        <v>1680</v>
      </c>
      <c r="H18" s="26" t="n">
        <f aca="false">H8*Допущения!$B$6*Допущения!$B$7</f>
        <v>2100</v>
      </c>
      <c r="I18" s="26" t="n">
        <f aca="false">I8*Допущения!$B$6*Допущения!$B$7</f>
        <v>2310</v>
      </c>
      <c r="J18" s="26" t="n">
        <f aca="false">J8*Допущения!$B$6*Допущения!$B$7</f>
        <v>2520</v>
      </c>
      <c r="K18" s="26" t="n">
        <f aca="false">K8*Допущения!$B$6*Допущения!$B$7</f>
        <v>2730</v>
      </c>
      <c r="L18" s="26" t="n">
        <f aca="false">L8*Допущения!$B$6*Допущения!$B$7</f>
        <v>2940</v>
      </c>
      <c r="M18" s="26" t="n">
        <f aca="false">M8*Допущения!$B$6*Допущения!$B$7</f>
        <v>3360</v>
      </c>
      <c r="N18" s="27" t="n">
        <f aca="false">SUM(B18:M18)</f>
        <v>22680</v>
      </c>
    </row>
    <row r="19" customFormat="false" ht="18" hidden="false" customHeight="true" outlineLevel="0" collapsed="false">
      <c r="A19" s="24" t="s">
        <v>78</v>
      </c>
      <c r="B19" s="28" t="n">
        <f aca="false">B8*B17+B18</f>
        <v>8820</v>
      </c>
      <c r="C19" s="28" t="n">
        <f aca="false">C8*C17+C18</f>
        <v>17640</v>
      </c>
      <c r="D19" s="28" t="n">
        <f aca="false">D8*D17+D18</f>
        <v>22050</v>
      </c>
      <c r="E19" s="28" t="n">
        <f aca="false">E8*E17+E18</f>
        <v>26460</v>
      </c>
      <c r="F19" s="28" t="n">
        <f aca="false">F8*F17+F18</f>
        <v>30870</v>
      </c>
      <c r="G19" s="28" t="n">
        <f aca="false">G8*G17+G18</f>
        <v>35280</v>
      </c>
      <c r="H19" s="28" t="n">
        <f aca="false">H8*H17+H18</f>
        <v>44100</v>
      </c>
      <c r="I19" s="28" t="n">
        <f aca="false">I8*I17+I18</f>
        <v>48510</v>
      </c>
      <c r="J19" s="28" t="n">
        <f aca="false">J8*J17+J18</f>
        <v>52920</v>
      </c>
      <c r="K19" s="28" t="n">
        <f aca="false">K8*K17+K18</f>
        <v>57330</v>
      </c>
      <c r="L19" s="28" t="n">
        <f aca="false">L8*L17+L18</f>
        <v>61740</v>
      </c>
      <c r="M19" s="28" t="n">
        <f aca="false">M8*M17+M18</f>
        <v>70560</v>
      </c>
      <c r="N19" s="27" t="n">
        <f aca="false">SUM(B19:M19)</f>
        <v>476280</v>
      </c>
    </row>
    <row r="20" customFormat="false" ht="18" hidden="false" customHeight="true" outlineLevel="0" collapsed="false">
      <c r="A20" s="29" t="s">
        <v>79</v>
      </c>
      <c r="B20" s="30" t="n">
        <f aca="false">B13-B19</f>
        <v>8180</v>
      </c>
      <c r="C20" s="30" t="n">
        <f aca="false">C13-C19</f>
        <v>16360</v>
      </c>
      <c r="D20" s="30" t="n">
        <f aca="false">D13-D19</f>
        <v>20450</v>
      </c>
      <c r="E20" s="30" t="n">
        <f aca="false">E13-E19</f>
        <v>24540</v>
      </c>
      <c r="F20" s="30" t="n">
        <f aca="false">F13-F19</f>
        <v>28630</v>
      </c>
      <c r="G20" s="30" t="n">
        <f aca="false">G13-G19</f>
        <v>32720</v>
      </c>
      <c r="H20" s="30" t="n">
        <f aca="false">H13-H19</f>
        <v>40900</v>
      </c>
      <c r="I20" s="30" t="n">
        <f aca="false">I13-I19</f>
        <v>44990</v>
      </c>
      <c r="J20" s="30" t="n">
        <f aca="false">J13-J19</f>
        <v>49080</v>
      </c>
      <c r="K20" s="30" t="n">
        <f aca="false">K13-K19</f>
        <v>53170</v>
      </c>
      <c r="L20" s="30" t="n">
        <f aca="false">L13-L19</f>
        <v>57260</v>
      </c>
      <c r="M20" s="30" t="n">
        <f aca="false">M13-M19</f>
        <v>65440</v>
      </c>
      <c r="N20" s="27" t="n">
        <f aca="false">SUM(B20:M20)</f>
        <v>441720</v>
      </c>
    </row>
    <row r="21" customFormat="false" ht="18" hidden="false" customHeight="true" outlineLevel="0" collapsed="false">
      <c r="A21" s="24" t="s">
        <v>80</v>
      </c>
      <c r="B21" s="32" t="n">
        <f aca="false">IF(B13=0,0,B20/B13)</f>
        <v>0.481176470588235</v>
      </c>
      <c r="C21" s="32" t="n">
        <f aca="false">IF(C13=0,0,C20/C13)</f>
        <v>0.481176470588235</v>
      </c>
      <c r="D21" s="32" t="n">
        <f aca="false">IF(D13=0,0,D20/D13)</f>
        <v>0.481176470588235</v>
      </c>
      <c r="E21" s="32" t="n">
        <f aca="false">IF(E13=0,0,E20/E13)</f>
        <v>0.481176470588235</v>
      </c>
      <c r="F21" s="32" t="n">
        <f aca="false">IF(F13=0,0,F20/F13)</f>
        <v>0.481176470588235</v>
      </c>
      <c r="G21" s="32" t="n">
        <f aca="false">IF(G13=0,0,G20/G13)</f>
        <v>0.481176470588235</v>
      </c>
      <c r="H21" s="32" t="n">
        <f aca="false">IF(H13=0,0,H20/H13)</f>
        <v>0.481176470588235</v>
      </c>
      <c r="I21" s="32" t="n">
        <f aca="false">IF(I13=0,0,I20/I13)</f>
        <v>0.481176470588235</v>
      </c>
      <c r="J21" s="32" t="n">
        <f aca="false">IF(J13=0,0,J20/J13)</f>
        <v>0.481176470588235</v>
      </c>
      <c r="K21" s="32" t="n">
        <f aca="false">IF(K13=0,0,K20/K13)</f>
        <v>0.481176470588235</v>
      </c>
      <c r="L21" s="32" t="n">
        <f aca="false">IF(L13=0,0,L20/L13)</f>
        <v>0.481176470588235</v>
      </c>
      <c r="M21" s="32" t="n">
        <f aca="false">IF(M13=0,0,M20/M13)</f>
        <v>0.481176470588235</v>
      </c>
      <c r="N21" s="33" t="n">
        <f aca="false">IF(SUM(B13:M13)=0,0,SUM(B20:M20)/SUM(B13:M13))</f>
        <v>0.481176470588235</v>
      </c>
    </row>
    <row r="23" customFormat="false" ht="19.5" hidden="false" customHeight="true" outlineLevel="0" collapsed="false">
      <c r="A23" s="18" t="s">
        <v>81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customFormat="false" ht="18" hidden="false" customHeight="true" outlineLevel="0" collapsed="false">
      <c r="A24" s="9" t="s">
        <v>82</v>
      </c>
      <c r="B24" s="26" t="n">
        <f aca="false">Допущения!$B$16</f>
        <v>50000</v>
      </c>
      <c r="C24" s="26" t="n">
        <f aca="false">Допущения!$B$16</f>
        <v>50000</v>
      </c>
      <c r="D24" s="26" t="n">
        <f aca="false">Допущения!$B$16</f>
        <v>50000</v>
      </c>
      <c r="E24" s="26" t="n">
        <f aca="false">Допущения!$B$16</f>
        <v>50000</v>
      </c>
      <c r="F24" s="26" t="n">
        <f aca="false">Допущения!$B$16</f>
        <v>50000</v>
      </c>
      <c r="G24" s="26" t="n">
        <f aca="false">Допущения!$B$16</f>
        <v>50000</v>
      </c>
      <c r="H24" s="26" t="n">
        <f aca="false">Допущения!$B$16</f>
        <v>50000</v>
      </c>
      <c r="I24" s="26" t="n">
        <f aca="false">Допущения!$B$16</f>
        <v>50000</v>
      </c>
      <c r="J24" s="26" t="n">
        <f aca="false">Допущения!$B$16</f>
        <v>50000</v>
      </c>
      <c r="K24" s="26" t="n">
        <f aca="false">Допущения!$B$16</f>
        <v>50000</v>
      </c>
      <c r="L24" s="26" t="n">
        <f aca="false">Допущения!$B$16</f>
        <v>50000</v>
      </c>
      <c r="M24" s="26" t="n">
        <f aca="false">Допущения!$B$16</f>
        <v>50000</v>
      </c>
      <c r="N24" s="27" t="n">
        <f aca="false">SUM(B24:M24)</f>
        <v>600000</v>
      </c>
    </row>
    <row r="25" customFormat="false" ht="18" hidden="false" customHeight="true" outlineLevel="0" collapsed="false">
      <c r="A25" s="5" t="s">
        <v>83</v>
      </c>
      <c r="B25" s="31" t="n">
        <f aca="false">Допущения!$B$17</f>
        <v>80000</v>
      </c>
      <c r="C25" s="31" t="n">
        <f aca="false">Допущения!$B$17</f>
        <v>80000</v>
      </c>
      <c r="D25" s="31" t="n">
        <f aca="false">Допущения!$B$17</f>
        <v>80000</v>
      </c>
      <c r="E25" s="31" t="n">
        <f aca="false">Допущения!$B$17</f>
        <v>80000</v>
      </c>
      <c r="F25" s="31" t="n">
        <f aca="false">Допущения!$B$17</f>
        <v>80000</v>
      </c>
      <c r="G25" s="31" t="n">
        <f aca="false">Допущения!$B$17</f>
        <v>80000</v>
      </c>
      <c r="H25" s="31" t="n">
        <f aca="false">Допущения!$B$17</f>
        <v>80000</v>
      </c>
      <c r="I25" s="31" t="n">
        <f aca="false">Допущения!$B$17</f>
        <v>80000</v>
      </c>
      <c r="J25" s="31" t="n">
        <f aca="false">Допущения!$B$17</f>
        <v>80000</v>
      </c>
      <c r="K25" s="31" t="n">
        <f aca="false">Допущения!$B$17</f>
        <v>80000</v>
      </c>
      <c r="L25" s="31" t="n">
        <f aca="false">Допущения!$B$17</f>
        <v>80000</v>
      </c>
      <c r="M25" s="31" t="n">
        <f aca="false">Допущения!$B$17</f>
        <v>80000</v>
      </c>
      <c r="N25" s="27" t="n">
        <f aca="false">SUM(B25:M25)</f>
        <v>960000</v>
      </c>
    </row>
    <row r="26" customFormat="false" ht="18" hidden="false" customHeight="true" outlineLevel="0" collapsed="false">
      <c r="A26" s="9" t="s">
        <v>84</v>
      </c>
      <c r="B26" s="26" t="n">
        <f aca="false">Допущения!$B$18</f>
        <v>30000</v>
      </c>
      <c r="C26" s="26" t="n">
        <f aca="false">Допущения!$B$18</f>
        <v>30000</v>
      </c>
      <c r="D26" s="26" t="n">
        <f aca="false">Допущения!$B$18</f>
        <v>30000</v>
      </c>
      <c r="E26" s="26" t="n">
        <f aca="false">Допущения!$B$18</f>
        <v>30000</v>
      </c>
      <c r="F26" s="26" t="n">
        <f aca="false">Допущения!$B$18</f>
        <v>30000</v>
      </c>
      <c r="G26" s="26" t="n">
        <f aca="false">Допущения!$B$18</f>
        <v>30000</v>
      </c>
      <c r="H26" s="26" t="n">
        <f aca="false">Допущения!$B$18</f>
        <v>30000</v>
      </c>
      <c r="I26" s="26" t="n">
        <f aca="false">Допущения!$B$18</f>
        <v>30000</v>
      </c>
      <c r="J26" s="26" t="n">
        <f aca="false">Допущения!$B$18</f>
        <v>30000</v>
      </c>
      <c r="K26" s="26" t="n">
        <f aca="false">Допущения!$B$18</f>
        <v>30000</v>
      </c>
      <c r="L26" s="26" t="n">
        <f aca="false">Допущения!$B$18</f>
        <v>30000</v>
      </c>
      <c r="M26" s="26" t="n">
        <f aca="false">Допущения!$B$18</f>
        <v>30000</v>
      </c>
      <c r="N26" s="27" t="n">
        <f aca="false">SUM(B26:M26)</f>
        <v>360000</v>
      </c>
    </row>
    <row r="27" customFormat="false" ht="18" hidden="false" customHeight="true" outlineLevel="0" collapsed="false">
      <c r="A27" s="24" t="s">
        <v>85</v>
      </c>
      <c r="B27" s="28" t="n">
        <f aca="false">B24+B25+B26</f>
        <v>160000</v>
      </c>
      <c r="C27" s="28" t="n">
        <f aca="false">C24+C25+C26</f>
        <v>160000</v>
      </c>
      <c r="D27" s="28" t="n">
        <f aca="false">D24+D25+D26</f>
        <v>160000</v>
      </c>
      <c r="E27" s="28" t="n">
        <f aca="false">E24+E25+E26</f>
        <v>160000</v>
      </c>
      <c r="F27" s="28" t="n">
        <f aca="false">F24+F25+F26</f>
        <v>160000</v>
      </c>
      <c r="G27" s="28" t="n">
        <f aca="false">G24+G25+G26</f>
        <v>160000</v>
      </c>
      <c r="H27" s="28" t="n">
        <f aca="false">H24+H25+H26</f>
        <v>160000</v>
      </c>
      <c r="I27" s="28" t="n">
        <f aca="false">I24+I25+I26</f>
        <v>160000</v>
      </c>
      <c r="J27" s="28" t="n">
        <f aca="false">J24+J25+J26</f>
        <v>160000</v>
      </c>
      <c r="K27" s="28" t="n">
        <f aca="false">K24+K25+K26</f>
        <v>160000</v>
      </c>
      <c r="L27" s="28" t="n">
        <f aca="false">L24+L25+L26</f>
        <v>160000</v>
      </c>
      <c r="M27" s="28" t="n">
        <f aca="false">M24+M25+M26</f>
        <v>160000</v>
      </c>
      <c r="N27" s="27" t="n">
        <f aca="false">SUM(B27:M27)</f>
        <v>1920000</v>
      </c>
    </row>
    <row r="29" customFormat="false" ht="19.5" hidden="false" customHeight="true" outlineLevel="0" collapsed="false">
      <c r="A29" s="18" t="s">
        <v>86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customFormat="false" ht="18" hidden="false" customHeight="true" outlineLevel="0" collapsed="false">
      <c r="A30" s="34" t="s">
        <v>87</v>
      </c>
      <c r="B30" s="35" t="n">
        <f aca="false">B20-B27</f>
        <v>-151820</v>
      </c>
      <c r="C30" s="35" t="n">
        <f aca="false">C20-C27</f>
        <v>-143640</v>
      </c>
      <c r="D30" s="35" t="n">
        <f aca="false">D20-D27</f>
        <v>-139550</v>
      </c>
      <c r="E30" s="35" t="n">
        <f aca="false">E20-E27</f>
        <v>-135460</v>
      </c>
      <c r="F30" s="35" t="n">
        <f aca="false">F20-F27</f>
        <v>-131370</v>
      </c>
      <c r="G30" s="35" t="n">
        <f aca="false">G20-G27</f>
        <v>-127280</v>
      </c>
      <c r="H30" s="35" t="n">
        <f aca="false">H20-H27</f>
        <v>-119100</v>
      </c>
      <c r="I30" s="35" t="n">
        <f aca="false">I20-I27</f>
        <v>-115010</v>
      </c>
      <c r="J30" s="35" t="n">
        <f aca="false">J20-J27</f>
        <v>-110920</v>
      </c>
      <c r="K30" s="35" t="n">
        <f aca="false">K20-K27</f>
        <v>-106830</v>
      </c>
      <c r="L30" s="35" t="n">
        <f aca="false">L20-L27</f>
        <v>-102740</v>
      </c>
      <c r="M30" s="35" t="n">
        <f aca="false">M20-M27</f>
        <v>-94560</v>
      </c>
      <c r="N30" s="35" t="n">
        <f aca="false">SUM(B30:M30)</f>
        <v>-1478280</v>
      </c>
    </row>
    <row r="31" customFormat="false" ht="18" hidden="false" customHeight="true" outlineLevel="0" collapsed="false">
      <c r="A31" s="24" t="s">
        <v>88</v>
      </c>
      <c r="B31" s="32" t="n">
        <f aca="false">IF(B13=0,0,B30/B13)</f>
        <v>-8.93058823529412</v>
      </c>
      <c r="C31" s="32" t="n">
        <f aca="false">IF(C13=0,0,C30/C13)</f>
        <v>-4.22470588235294</v>
      </c>
      <c r="D31" s="32" t="n">
        <f aca="false">IF(D13=0,0,D30/D13)</f>
        <v>-3.28352941176471</v>
      </c>
      <c r="E31" s="32" t="n">
        <f aca="false">IF(E13=0,0,E30/E13)</f>
        <v>-2.65607843137255</v>
      </c>
      <c r="F31" s="32" t="n">
        <f aca="false">IF(F13=0,0,F30/F13)</f>
        <v>-2.20789915966387</v>
      </c>
      <c r="G31" s="32" t="n">
        <f aca="false">IF(G13=0,0,G30/G13)</f>
        <v>-1.87176470588235</v>
      </c>
      <c r="H31" s="32" t="n">
        <f aca="false">IF(H13=0,0,H30/H13)</f>
        <v>-1.40117647058824</v>
      </c>
      <c r="I31" s="32" t="n">
        <f aca="false">IF(I13=0,0,I30/I13)</f>
        <v>-1.23005347593583</v>
      </c>
      <c r="J31" s="32" t="n">
        <f aca="false">IF(J13=0,0,J30/J13)</f>
        <v>-1.08745098039216</v>
      </c>
      <c r="K31" s="32" t="n">
        <f aca="false">IF(K13=0,0,K30/K13)</f>
        <v>-0.966787330316742</v>
      </c>
      <c r="L31" s="32" t="n">
        <f aca="false">IF(L13=0,0,L30/L13)</f>
        <v>-0.863361344537815</v>
      </c>
      <c r="M31" s="32" t="n">
        <f aca="false">IF(M13=0,0,M30/M13)</f>
        <v>-0.695294117647059</v>
      </c>
      <c r="N31" s="36" t="n">
        <f aca="false">IF(N13=0,0,N30/N13)</f>
        <v>-1.61032679738562</v>
      </c>
    </row>
    <row r="32" customFormat="false" ht="18" hidden="false" customHeight="true" outlineLevel="0" collapsed="false">
      <c r="A32" s="29" t="s">
        <v>89</v>
      </c>
      <c r="B32" s="30" t="n">
        <f aca="false">B30</f>
        <v>-151820</v>
      </c>
      <c r="C32" s="30" t="n">
        <f aca="false">B32+C30</f>
        <v>-295460</v>
      </c>
      <c r="D32" s="30" t="n">
        <f aca="false">C32+D30</f>
        <v>-435010</v>
      </c>
      <c r="E32" s="30" t="n">
        <f aca="false">D32+E30</f>
        <v>-570470</v>
      </c>
      <c r="F32" s="30" t="n">
        <f aca="false">E32+F30</f>
        <v>-701840</v>
      </c>
      <c r="G32" s="30" t="n">
        <f aca="false">F32+G30</f>
        <v>-829120</v>
      </c>
      <c r="H32" s="30" t="n">
        <f aca="false">G32+H30</f>
        <v>-948220</v>
      </c>
      <c r="I32" s="30" t="n">
        <f aca="false">H32+I30</f>
        <v>-1063230</v>
      </c>
      <c r="J32" s="30" t="n">
        <f aca="false">I32+J30</f>
        <v>-1174150</v>
      </c>
      <c r="K32" s="30" t="n">
        <f aca="false">J32+K30</f>
        <v>-1280980</v>
      </c>
      <c r="L32" s="30" t="n">
        <f aca="false">K32+L30</f>
        <v>-1383720</v>
      </c>
      <c r="M32" s="30" t="n">
        <f aca="false">L32+M30</f>
        <v>-1478280</v>
      </c>
      <c r="N32" s="37" t="n">
        <f aca="false">M32</f>
        <v>-1478280</v>
      </c>
    </row>
  </sheetData>
  <mergeCells count="7">
    <mergeCell ref="A1:N1"/>
    <mergeCell ref="A2:N2"/>
    <mergeCell ref="A4:N4"/>
    <mergeCell ref="A11:N11"/>
    <mergeCell ref="A16:N16"/>
    <mergeCell ref="A23:N23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91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92</v>
      </c>
      <c r="B3" s="38" t="s">
        <v>93</v>
      </c>
      <c r="C3" s="17" t="s">
        <v>94</v>
      </c>
      <c r="D3" s="39" t="s">
        <v>95</v>
      </c>
      <c r="E3" s="3" t="s">
        <v>4</v>
      </c>
      <c r="F3" s="3" t="s">
        <v>5</v>
      </c>
    </row>
    <row r="4" customFormat="false" ht="18" hidden="false" customHeight="true" outlineLevel="0" collapsed="false">
      <c r="A4" s="4" t="s">
        <v>96</v>
      </c>
      <c r="B4" s="4"/>
      <c r="C4" s="4"/>
      <c r="D4" s="4"/>
      <c r="E4" s="4"/>
      <c r="F4" s="4"/>
    </row>
    <row r="5" customFormat="false" ht="18" hidden="false" customHeight="true" outlineLevel="0" collapsed="false">
      <c r="A5" s="5" t="s">
        <v>97</v>
      </c>
      <c r="B5" s="40" t="n">
        <f aca="false">Допущения!$B$20</f>
        <v>0.2</v>
      </c>
      <c r="C5" s="40" t="n">
        <f aca="false">Допущения!$B$11</f>
        <v>0.3</v>
      </c>
      <c r="D5" s="40" t="n">
        <f aca="false">Допущения!$B$21</f>
        <v>0.4</v>
      </c>
      <c r="E5" s="7" t="s">
        <v>13</v>
      </c>
      <c r="F5" s="8" t="s">
        <v>98</v>
      </c>
    </row>
    <row r="6" customFormat="false" ht="18" hidden="false" customHeight="true" outlineLevel="0" collapsed="false">
      <c r="A6" s="9" t="s">
        <v>25</v>
      </c>
      <c r="B6" s="41" t="n">
        <f aca="false">Допущения!$B$22</f>
        <v>0.1</v>
      </c>
      <c r="C6" s="41" t="n">
        <f aca="false">Допущения!$B$13</f>
        <v>0.2</v>
      </c>
      <c r="D6" s="41" t="n">
        <f aca="false">Допущения!$B$23</f>
        <v>0.3</v>
      </c>
      <c r="E6" s="11" t="s">
        <v>13</v>
      </c>
      <c r="F6" s="12" t="s">
        <v>26</v>
      </c>
    </row>
    <row r="7" customFormat="false" ht="18" hidden="false" customHeight="true" outlineLevel="0" collapsed="false">
      <c r="A7" s="5" t="s">
        <v>99</v>
      </c>
      <c r="B7" s="42" t="n">
        <f aca="false">Допущения!$B$24</f>
        <v>50</v>
      </c>
      <c r="C7" s="42" t="n">
        <f aca="false">Допущения!$B$9</f>
        <v>80</v>
      </c>
      <c r="D7" s="42" t="n">
        <f aca="false">Допущения!$B$25</f>
        <v>120</v>
      </c>
      <c r="E7" s="7" t="s">
        <v>17</v>
      </c>
      <c r="F7" s="8" t="s">
        <v>100</v>
      </c>
    </row>
    <row r="8" customFormat="false" ht="18" hidden="false" customHeight="true" outlineLevel="0" collapsed="false">
      <c r="A8" s="9" t="s">
        <v>101</v>
      </c>
      <c r="B8" s="43" t="n">
        <f aca="false">Допущения!$B$10</f>
        <v>40</v>
      </c>
      <c r="C8" s="43" t="n">
        <f aca="false">Допущения!$B$10</f>
        <v>40</v>
      </c>
      <c r="D8" s="43" t="n">
        <f aca="false">Допущения!$B$10</f>
        <v>40</v>
      </c>
      <c r="E8" s="11" t="s">
        <v>17</v>
      </c>
      <c r="F8" s="12" t="s">
        <v>102</v>
      </c>
    </row>
    <row r="9" customFormat="false" ht="18" hidden="false" customHeight="true" outlineLevel="0" collapsed="false">
      <c r="A9" s="5" t="s">
        <v>103</v>
      </c>
      <c r="B9" s="40" t="n">
        <f aca="false">Допущения!$B$12</f>
        <v>0.5</v>
      </c>
      <c r="C9" s="40" t="n">
        <f aca="false">Допущения!$B$12</f>
        <v>0.5</v>
      </c>
      <c r="D9" s="40" t="n">
        <f aca="false">Допущения!$B$12</f>
        <v>0.5</v>
      </c>
      <c r="E9" s="7" t="s">
        <v>13</v>
      </c>
      <c r="F9" s="8" t="s">
        <v>102</v>
      </c>
    </row>
    <row r="10" customFormat="false" ht="18" hidden="false" customHeight="true" outlineLevel="0" collapsed="false">
      <c r="A10" s="9" t="s">
        <v>7</v>
      </c>
      <c r="B10" s="44" t="n">
        <f aca="false">Допущения!$B$5</f>
        <v>8500</v>
      </c>
      <c r="C10" s="44" t="n">
        <f aca="false">Допущения!$B$5</f>
        <v>8500</v>
      </c>
      <c r="D10" s="44" t="n">
        <f aca="false">Допущения!$B$5</f>
        <v>8500</v>
      </c>
      <c r="E10" s="11" t="s">
        <v>8</v>
      </c>
      <c r="F10" s="12" t="s">
        <v>104</v>
      </c>
    </row>
    <row r="11" customFormat="false" ht="18" hidden="false" customHeight="true" outlineLevel="0" collapsed="false">
      <c r="A11" s="4" t="s">
        <v>105</v>
      </c>
      <c r="B11" s="4"/>
      <c r="C11" s="4"/>
      <c r="D11" s="4"/>
      <c r="E11" s="4"/>
      <c r="F11" s="4"/>
    </row>
    <row r="12" customFormat="false" ht="19.5" hidden="false" customHeight="true" outlineLevel="0" collapsed="false">
      <c r="A12" s="29" t="s">
        <v>106</v>
      </c>
      <c r="B12" s="45" t="n">
        <f aca="false">12*Допущения!$B$24+Допущения!$B$10*66</f>
        <v>3240</v>
      </c>
      <c r="C12" s="45" t="n">
        <f aca="false">12*Допущения!$B$9+Допущения!$B$10*66</f>
        <v>3600</v>
      </c>
      <c r="D12" s="45" t="n">
        <f aca="false">12*Допущения!$B$25+Допущения!$B$10*66</f>
        <v>4080</v>
      </c>
      <c r="E12" s="46" t="s">
        <v>17</v>
      </c>
      <c r="F12" s="12" t="s">
        <v>107</v>
      </c>
    </row>
    <row r="13" customFormat="false" ht="19.5" hidden="false" customHeight="true" outlineLevel="0" collapsed="false">
      <c r="A13" s="24" t="s">
        <v>108</v>
      </c>
      <c r="B13" s="25" t="n">
        <f aca="false">ROUND(ROUND(ROUND((12*Допущения!$B$24+Допущения!$B$10*66)*Допущения!$B$20,0)*Допущения!$B$12,0)*Допущения!$B$22,0)</f>
        <v>32</v>
      </c>
      <c r="C13" s="25" t="n">
        <f aca="false">ROUND(ROUND(ROUND((12*Допущения!$B$9+Допущения!$B$10*66)*Допущения!$B$11,0)*Допущения!$B$12,0)*Допущения!$B$13,0)</f>
        <v>108</v>
      </c>
      <c r="D13" s="25" t="n">
        <f aca="false">ROUND(ROUND(ROUND((12*Допущения!$B$25+Допущения!$B$10*66)*Допущения!$B$21,0)*Допущения!$B$12,0)*Допущения!$B$23,0)</f>
        <v>245</v>
      </c>
      <c r="E13" s="47" t="s">
        <v>17</v>
      </c>
      <c r="F13" s="8" t="s">
        <v>109</v>
      </c>
    </row>
    <row r="14" customFormat="false" ht="19.5" hidden="false" customHeight="true" outlineLevel="0" collapsed="false">
      <c r="A14" s="29" t="s">
        <v>110</v>
      </c>
      <c r="B14" s="30" t="n">
        <f aca="false">ROUND(ROUND(ROUND(ROUND((12*Допущения!$B$24+Допущения!$B$10*66)*Допущения!$B$20,0)*Допущения!$B$12,0)*Допущения!$B$22,0)*Допущения!$B$5,0)</f>
        <v>272000</v>
      </c>
      <c r="C14" s="30" t="n">
        <f aca="false">ROUND(ROUND(ROUND(ROUND((12*Допущения!$B$9+Допущения!$B$10*66)*Допущения!$B$11,0)*Допущения!$B$12,0)*Допущения!$B$13,0)*Допущения!$B$5,0)</f>
        <v>918000</v>
      </c>
      <c r="D14" s="30" t="n">
        <f aca="false">ROUND(ROUND(ROUND(ROUND((12*Допущения!$B$25+Допущения!$B$10*66)*Допущения!$B$21,0)*Допущения!$B$12,0)*Допущения!$B$23,0)*Допущения!$B$5,0)</f>
        <v>2082500</v>
      </c>
      <c r="E14" s="46" t="s">
        <v>8</v>
      </c>
      <c r="F14" s="12" t="s">
        <v>111</v>
      </c>
    </row>
    <row r="15" customFormat="false" ht="19.5" hidden="false" customHeight="true" outlineLevel="0" collapsed="false">
      <c r="A15" s="24" t="s">
        <v>112</v>
      </c>
      <c r="B15" s="28" t="n">
        <f aca="false">ROUND(ROUND(ROUND(ROUND((12*Допущения!$B$24+Допущения!$B$10*66)*Допущения!$B$20,0)*Допущения!$B$12,0)*Допущения!$B$22,0)*Допущения!$B$5,0)-ROUND(ROUND(ROUND(ROUND((12*Допущения!$B$24+Допущения!$B$10*66)*Допущения!$B$20,0)*Допущения!$B$12,0)*Допущения!$B$22,0)*Допущения!$B$6,0)</f>
        <v>137600</v>
      </c>
      <c r="C15" s="28" t="n">
        <f aca="false">ROUND(ROUND(ROUND(ROUND((12*Допущения!$B$9+Допущения!$B$10*66)*Допущения!$B$11,0)*Допущения!$B$12,0)*Допущения!$B$13,0)*Допущения!$B$5,0)-ROUND(ROUND(ROUND(ROUND((12*Допущения!$B$9+Допущения!$B$10*66)*Допущения!$B$11,0)*Допущения!$B$12,0)*Допущения!$B$13,0)*Допущения!$B$6,0)</f>
        <v>464400</v>
      </c>
      <c r="D15" s="28" t="n">
        <f aca="false">ROUND(ROUND(ROUND(ROUND((12*Допущения!$B$25+Допущения!$B$10*66)*Допущения!$B$21,0)*Допущения!$B$12,0)*Допущения!$B$23,0)*Допущения!$B$5,0)-ROUND(ROUND(ROUND(ROUND((12*Допущения!$B$25+Допущения!$B$10*66)*Допущения!$B$21,0)*Допущения!$B$12,0)*Допущения!$B$23,0)*Допущения!$B$6,0)</f>
        <v>1053500</v>
      </c>
      <c r="E15" s="47" t="s">
        <v>8</v>
      </c>
      <c r="F15" s="8" t="s">
        <v>113</v>
      </c>
    </row>
    <row r="16" customFormat="false" ht="19.5" hidden="false" customHeight="true" outlineLevel="0" collapsed="false">
      <c r="A16" s="34" t="s">
        <v>114</v>
      </c>
      <c r="B16" s="35" t="n">
        <f aca="false">ROUND(ROUND(ROUND(ROUND((12*Допущения!$B$24+Допущения!$B$10*66)*Допущения!$B$20,0)*Допущения!$B$12,0)*Допущения!$B$22,0)*Допущения!$B$5,0)-ROUND(ROUND(ROUND(ROUND((12*Допущения!$B$24+Допущения!$B$10*66)*Допущения!$B$20,0)*Допущения!$B$12,0)*Допущения!$B$22,0)*Допущения!$B$6,0)-(Допущения!$B$16+Допущения!$B$17+Допущения!$B$18)*12</f>
        <v>-1782400</v>
      </c>
      <c r="C16" s="35" t="n">
        <f aca="false">ROUND(ROUND(ROUND(ROUND((12*Допущения!$B$9+Допущения!$B$10*66)*Допущения!$B$11,0)*Допущения!$B$12,0)*Допущения!$B$13,0)*Допущения!$B$5,0)-ROUND(ROUND(ROUND(ROUND((12*Допущения!$B$9+Допущения!$B$10*66)*Допущения!$B$11,0)*Допущения!$B$12,0)*Допущения!$B$13,0)*Допущения!$B$6,0)-(Допущения!$B$16+Допущения!$B$17+Допущения!$B$18)*12</f>
        <v>-1455600</v>
      </c>
      <c r="D16" s="35" t="n">
        <f aca="false">ROUND(ROUND(ROUND(ROUND((12*Допущения!$B$25+Допущения!$B$10*66)*Допущения!$B$21,0)*Допущения!$B$12,0)*Допущения!$B$23,0)*Допущения!$B$5,0)-ROUND(ROUND(ROUND(ROUND((12*Допущения!$B$25+Допущения!$B$10*66)*Допущения!$B$21,0)*Допущения!$B$12,0)*Допущения!$B$23,0)*Допущения!$B$6,0)-(Допущения!$B$16+Допущения!$B$17+Допущения!$B$18)*12</f>
        <v>-866500</v>
      </c>
      <c r="E16" s="48" t="s">
        <v>8</v>
      </c>
      <c r="F16" s="49" t="s">
        <v>115</v>
      </c>
    </row>
    <row r="17" customFormat="false" ht="19.5" hidden="false" customHeight="true" outlineLevel="0" collapsed="false">
      <c r="A17" s="24" t="s">
        <v>88</v>
      </c>
      <c r="B17" s="32" t="n">
        <f aca="false">IF(ROUND(ROUND(ROUND(ROUND((12*Допущения!$B$24+Допущения!$B$10*66)*Допущения!$B$20,0)*Допущения!$B$12,0)*Допущения!$B$22,0)*Допущения!$B$5,0)=0,0,(ROUND(ROUND(ROUND(ROUND((12*Допущения!$B$24+Допущения!$B$10*66)*Допущения!$B$20,0)*Допущения!$B$12,0)*Допущения!$B$22,0)*Допущения!$B$5,0)-ROUND(ROUND(ROUND(ROUND((12*Допущения!$B$24+Допущения!$B$10*66)*Допущения!$B$20,0)*Допущения!$B$12,0)*Допущения!$B$22,0)*Допущения!$B$6,0)-(Допущения!$B$16+Допущения!$B$17+Допущения!$B$18)*12)/(ROUND(ROUND(ROUND(ROUND((12*Допущения!$B$24+Допущения!$B$10*66)*Допущения!$B$20,0)*Допущения!$B$12,0)*Допущения!$B$22,0)*Допущения!$B$5,0)))</f>
        <v>-6.55294117647059</v>
      </c>
      <c r="C17" s="32" t="n">
        <f aca="false">IF(ROUND(ROUND(ROUND(ROUND((12*Допущения!$B$9+Допущения!$B$10*66)*Допущения!$B$11,0)*Допущения!$B$12,0)*Допущения!$B$13,0)*Допущения!$B$5,0)=0,0,(ROUND(ROUND(ROUND(ROUND((12*Допущения!$B$9+Допущения!$B$10*66)*Допущения!$B$11,0)*Допущения!$B$12,0)*Допущения!$B$13,0)*Допущения!$B$5,0)-ROUND(ROUND(ROUND(ROUND((12*Допущения!$B$9+Допущения!$B$10*66)*Допущения!$B$11,0)*Допущения!$B$12,0)*Допущения!$B$13,0)*Допущения!$B$6,0)-(Допущения!$B$16+Допущения!$B$17+Допущения!$B$18)*12)/(ROUND(ROUND(ROUND(ROUND((12*Допущения!$B$9+Допущения!$B$10*66)*Допущения!$B$11,0)*Допущения!$B$12,0)*Допущения!$B$13,0)*Допущения!$B$5,0)))</f>
        <v>-1.58562091503268</v>
      </c>
      <c r="D17" s="32" t="n">
        <f aca="false">IF(ROUND(ROUND(ROUND(ROUND((12*Допущения!$B$25+Допущения!$B$10*66)*Допущения!$B$21,0)*Допущения!$B$12,0)*Допущения!$B$23,0)*Допущения!$B$5,0)=0,0,(ROUND(ROUND(ROUND(ROUND((12*Допущения!$B$25+Допущения!$B$10*66)*Допущения!$B$21,0)*Допущения!$B$12,0)*Допущения!$B$23,0)*Допущения!$B$5,0)-ROUND(ROUND(ROUND(ROUND((12*Допущения!$B$25+Допущения!$B$10*66)*Допущения!$B$21,0)*Допущения!$B$12,0)*Допущения!$B$23,0)*Допущения!$B$6,0)-(Допущения!$B$16+Допущения!$B$17+Допущения!$B$18)*12)/(ROUND(ROUND(ROUND(ROUND((12*Допущения!$B$25+Допущения!$B$10*66)*Допущения!$B$21,0)*Допущения!$B$12,0)*Допущения!$B$23,0)*Допущения!$B$5,0)))</f>
        <v>-0.41608643457383</v>
      </c>
      <c r="E17" s="47" t="s">
        <v>13</v>
      </c>
      <c r="F17" s="8" t="s">
        <v>116</v>
      </c>
    </row>
    <row r="19" customFormat="false" ht="13.5" hidden="false" customHeight="true" outlineLevel="0" collapsed="false">
      <c r="A19" s="50" t="s">
        <v>117</v>
      </c>
      <c r="B19" s="50"/>
      <c r="C19" s="50"/>
      <c r="D19" s="50"/>
      <c r="E19" s="50"/>
      <c r="F19" s="50"/>
    </row>
  </sheetData>
  <mergeCells count="5">
    <mergeCell ref="A1:G1"/>
    <mergeCell ref="A2:G2"/>
    <mergeCell ref="A4:F4"/>
    <mergeCell ref="A11:F1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2026-05-14T15:05:49Z</dcterms:created>
  <dc:creator>openpyxl</dc:creator>
  <dc:description/>
  <dc:language>en-US</dc:language>
  <cp:lastModifiedBy/>
  <dcterms:modified xsi:type="dcterms:W3CDTF">2026-05-14T15:05:49Z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